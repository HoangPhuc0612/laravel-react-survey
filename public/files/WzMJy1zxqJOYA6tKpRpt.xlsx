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Các môn học\"/>
    </mc:Choice>
  </mc:AlternateContent>
  <xr:revisionPtr revIDLastSave="0" documentId="13_ncr:1_{71F3D342-6E65-49AF-8EE2-4204439A0A0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húc" sheetId="1" r:id="rId1"/>
    <sheet name="Sheet1" sheetId="2" r:id="rId2"/>
    <sheet name="Tous les Jou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J4" i="1" s="1"/>
  <c r="E34" i="1"/>
  <c r="J3" i="1" s="1"/>
  <c r="C34" i="1"/>
  <c r="D33" i="1"/>
  <c r="C34" i="3"/>
  <c r="F3" i="3" s="1"/>
  <c r="G34" i="2"/>
  <c r="F34" i="2"/>
  <c r="C34" i="2"/>
  <c r="E33" i="2"/>
  <c r="J6" i="2" s="1"/>
  <c r="D33" i="2"/>
  <c r="J5" i="2"/>
  <c r="J7" i="2" l="1"/>
  <c r="J8" i="2" s="1"/>
  <c r="J5" i="1"/>
</calcChain>
</file>

<file path=xl/sharedStrings.xml><?xml version="1.0" encoding="utf-8"?>
<sst xmlns="http://schemas.openxmlformats.org/spreadsheetml/2006/main" count="44" uniqueCount="28">
  <si>
    <t>THÁNG</t>
  </si>
  <si>
    <t>NGÀY</t>
  </si>
  <si>
    <t>Tổng tiền lương</t>
  </si>
  <si>
    <t>Số tiếng làm</t>
  </si>
  <si>
    <t>Công lễ</t>
  </si>
  <si>
    <t>Tổng số tiếng</t>
  </si>
  <si>
    <t>Tiền phục vụ</t>
  </si>
  <si>
    <t>January</t>
  </si>
  <si>
    <t>Ca ngày</t>
  </si>
  <si>
    <t>Ca đêm</t>
  </si>
  <si>
    <t>Ngày lễ (ca ngày)</t>
  </si>
  <si>
    <t>Ngày lễ (ca đêm)</t>
  </si>
  <si>
    <t>Tiền công lễ (ca ngày)</t>
  </si>
  <si>
    <t>Tiền công lễ (ca đêm)</t>
  </si>
  <si>
    <t>Tiền gửi xe</t>
  </si>
  <si>
    <t>May</t>
  </si>
  <si>
    <t>Cắt ca</t>
  </si>
  <si>
    <t>Ngày lễ</t>
  </si>
  <si>
    <t>Tiền/tiếng</t>
  </si>
  <si>
    <t>Tiền cơm</t>
  </si>
  <si>
    <t>Tổng tiền</t>
  </si>
  <si>
    <t>Tổng lương nhận</t>
  </si>
  <si>
    <t>Ngày thường</t>
  </si>
  <si>
    <t>X</t>
  </si>
  <si>
    <t>Tổng cơm</t>
  </si>
  <si>
    <t>Tổng tiền cơm</t>
  </si>
  <si>
    <t>Jun</t>
  </si>
  <si>
    <t>Tiền/giờ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</si>
</sst>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₫-42A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16" zoomScaleNormal="100" workbookViewId="0">
      <selection activeCell="H19" sqref="H19"/>
    </sheetView>
  </sheetViews>
  <sheetFormatPr defaultRowHeight="15" x14ac:dyDescent="0.25"/>
  <cols>
    <col min="1" max="1" width="18" customWidth="1"/>
    <col min="2" max="2" width="13.140625" customWidth="1"/>
    <col min="3" max="3" width="15.140625" customWidth="1"/>
    <col min="4" max="4" width="17.5703125" customWidth="1"/>
    <col min="5" max="5" width="15.5703125" customWidth="1"/>
    <col min="9" max="9" width="20.85546875" customWidth="1"/>
    <col min="10" max="10" width="19.5703125" customWidth="1"/>
  </cols>
  <sheetData>
    <row r="1" spans="1:10" x14ac:dyDescent="0.25">
      <c r="A1" s="1" t="s">
        <v>0</v>
      </c>
      <c r="B1" s="1" t="s">
        <v>1</v>
      </c>
      <c r="C1" s="6" t="s">
        <v>3</v>
      </c>
      <c r="D1" s="6" t="s">
        <v>17</v>
      </c>
      <c r="E1" s="6" t="s">
        <v>22</v>
      </c>
      <c r="F1" s="6" t="s">
        <v>16</v>
      </c>
      <c r="I1" s="1" t="s">
        <v>18</v>
      </c>
      <c r="J1" s="9">
        <v>20000</v>
      </c>
    </row>
    <row r="2" spans="1:10" x14ac:dyDescent="0.25">
      <c r="A2" s="10" t="s">
        <v>15</v>
      </c>
      <c r="B2" s="1">
        <v>1</v>
      </c>
      <c r="C2" s="8">
        <v>10</v>
      </c>
      <c r="D2" s="8">
        <v>10</v>
      </c>
      <c r="E2" s="8"/>
      <c r="F2" s="8" t="s">
        <v>23</v>
      </c>
      <c r="I2" s="1" t="s">
        <v>19</v>
      </c>
      <c r="J2" s="9">
        <v>22000</v>
      </c>
    </row>
    <row r="3" spans="1:10" x14ac:dyDescent="0.25">
      <c r="A3" s="10"/>
      <c r="B3" s="1">
        <v>2</v>
      </c>
      <c r="C3" s="8">
        <v>5</v>
      </c>
      <c r="D3" s="8"/>
      <c r="E3" s="8">
        <v>5</v>
      </c>
      <c r="F3" s="8"/>
      <c r="I3" s="1" t="s">
        <v>20</v>
      </c>
      <c r="J3" s="9">
        <f>(D33*2*J1)+(E34*J1)</f>
        <v>3200000</v>
      </c>
    </row>
    <row r="4" spans="1:10" x14ac:dyDescent="0.25">
      <c r="A4" s="10"/>
      <c r="B4" s="1">
        <v>3</v>
      </c>
      <c r="C4" s="8">
        <v>6</v>
      </c>
      <c r="D4" s="8"/>
      <c r="E4" s="8">
        <v>6</v>
      </c>
      <c r="F4" s="8" t="s">
        <v>23</v>
      </c>
      <c r="I4" s="1" t="s">
        <v>25</v>
      </c>
      <c r="J4" s="9">
        <f>E35*J2</f>
        <v>66000</v>
      </c>
    </row>
    <row r="5" spans="1:10" x14ac:dyDescent="0.25">
      <c r="A5" s="10"/>
      <c r="B5" s="1">
        <v>4</v>
      </c>
      <c r="C5" s="8">
        <v>5</v>
      </c>
      <c r="D5" s="8"/>
      <c r="E5" s="8">
        <v>5</v>
      </c>
      <c r="F5" s="8"/>
      <c r="I5" s="1" t="s">
        <v>21</v>
      </c>
      <c r="J5" s="9">
        <f>SUM(J3:J4)</f>
        <v>3266000</v>
      </c>
    </row>
    <row r="6" spans="1:10" x14ac:dyDescent="0.25">
      <c r="A6" s="10"/>
      <c r="B6" s="1">
        <v>5</v>
      </c>
      <c r="C6" s="8"/>
      <c r="D6" s="8"/>
      <c r="E6" s="8"/>
      <c r="F6" s="8"/>
    </row>
    <row r="7" spans="1:10" x14ac:dyDescent="0.25">
      <c r="A7" s="10"/>
      <c r="B7" s="1">
        <v>6</v>
      </c>
      <c r="C7" s="8">
        <v>5</v>
      </c>
      <c r="D7" s="8"/>
      <c r="E7" s="8">
        <v>5</v>
      </c>
      <c r="F7" s="8"/>
    </row>
    <row r="8" spans="1:10" x14ac:dyDescent="0.25">
      <c r="A8" s="10"/>
      <c r="B8" s="1">
        <v>7</v>
      </c>
      <c r="C8" s="8"/>
      <c r="D8" s="8"/>
      <c r="E8" s="8"/>
      <c r="F8" s="8"/>
    </row>
    <row r="9" spans="1:10" x14ac:dyDescent="0.25">
      <c r="A9" s="10"/>
      <c r="B9" s="1">
        <v>8</v>
      </c>
      <c r="C9" s="8">
        <v>13</v>
      </c>
      <c r="D9" s="8"/>
      <c r="E9" s="8">
        <v>13</v>
      </c>
      <c r="F9" s="8"/>
    </row>
    <row r="10" spans="1:10" x14ac:dyDescent="0.25">
      <c r="A10" s="10"/>
      <c r="B10" s="1">
        <v>9</v>
      </c>
      <c r="C10" s="8"/>
      <c r="D10" s="8"/>
      <c r="E10" s="8"/>
      <c r="F10" s="8"/>
    </row>
    <row r="11" spans="1:10" x14ac:dyDescent="0.25">
      <c r="A11" s="10"/>
      <c r="B11" s="1">
        <v>10</v>
      </c>
      <c r="C11" s="8">
        <v>10</v>
      </c>
      <c r="D11" s="8"/>
      <c r="E11" s="8">
        <v>10</v>
      </c>
      <c r="F11" s="8" t="s">
        <v>23</v>
      </c>
    </row>
    <row r="12" spans="1:10" x14ac:dyDescent="0.25">
      <c r="A12" s="10"/>
      <c r="B12" s="1">
        <v>11</v>
      </c>
      <c r="C12" s="8">
        <v>5</v>
      </c>
      <c r="D12" s="8"/>
      <c r="E12" s="8">
        <v>5</v>
      </c>
      <c r="F12" s="8"/>
    </row>
    <row r="13" spans="1:10" x14ac:dyDescent="0.25">
      <c r="A13" s="10"/>
      <c r="B13" s="1">
        <v>12</v>
      </c>
      <c r="C13" s="8"/>
      <c r="D13" s="8"/>
      <c r="E13" s="8"/>
      <c r="F13" s="8"/>
    </row>
    <row r="14" spans="1:10" x14ac:dyDescent="0.25">
      <c r="A14" s="10"/>
      <c r="B14" s="1">
        <v>13</v>
      </c>
      <c r="C14" s="8"/>
      <c r="D14" s="8"/>
      <c r="E14" s="8"/>
      <c r="F14" s="8"/>
    </row>
    <row r="15" spans="1:10" x14ac:dyDescent="0.25">
      <c r="A15" s="10"/>
      <c r="B15" s="1">
        <v>14</v>
      </c>
      <c r="C15" s="8">
        <v>5</v>
      </c>
      <c r="D15" s="8"/>
      <c r="E15" s="8">
        <v>5</v>
      </c>
      <c r="F15" s="8"/>
    </row>
    <row r="16" spans="1:10" x14ac:dyDescent="0.25">
      <c r="A16" s="10"/>
      <c r="B16" s="1">
        <v>15</v>
      </c>
      <c r="C16" s="8">
        <v>5.5</v>
      </c>
      <c r="D16" s="8"/>
      <c r="E16" s="8">
        <v>5.5</v>
      </c>
      <c r="F16" s="8"/>
    </row>
    <row r="17" spans="1:6" x14ac:dyDescent="0.25">
      <c r="A17" s="10"/>
      <c r="B17" s="1">
        <v>16</v>
      </c>
      <c r="C17" s="8"/>
      <c r="D17" s="8"/>
      <c r="E17" s="8"/>
      <c r="F17" s="8"/>
    </row>
    <row r="18" spans="1:6" x14ac:dyDescent="0.25">
      <c r="A18" s="10"/>
      <c r="B18" s="1">
        <v>17</v>
      </c>
      <c r="C18" s="8">
        <v>13</v>
      </c>
      <c r="D18" s="8"/>
      <c r="E18" s="8">
        <v>13</v>
      </c>
      <c r="F18" s="8"/>
    </row>
    <row r="19" spans="1:6" x14ac:dyDescent="0.25">
      <c r="A19" s="10"/>
      <c r="B19" s="1">
        <v>18</v>
      </c>
      <c r="C19" s="8">
        <v>5</v>
      </c>
      <c r="D19" s="8"/>
      <c r="E19" s="8">
        <v>5</v>
      </c>
      <c r="F19" s="8"/>
    </row>
    <row r="20" spans="1:6" x14ac:dyDescent="0.25">
      <c r="A20" s="10"/>
      <c r="B20" s="1">
        <v>19</v>
      </c>
      <c r="C20" s="8"/>
      <c r="D20" s="8"/>
      <c r="E20" s="8"/>
      <c r="F20" s="8"/>
    </row>
    <row r="21" spans="1:6" x14ac:dyDescent="0.25">
      <c r="A21" s="10"/>
      <c r="B21" s="1">
        <v>20</v>
      </c>
      <c r="C21" s="8">
        <v>5</v>
      </c>
      <c r="D21" s="8"/>
      <c r="E21" s="8">
        <v>5</v>
      </c>
      <c r="F21" s="8"/>
    </row>
    <row r="22" spans="1:6" x14ac:dyDescent="0.25">
      <c r="A22" s="10"/>
      <c r="B22" s="1">
        <v>21</v>
      </c>
      <c r="C22" s="8">
        <v>5</v>
      </c>
      <c r="D22" s="8"/>
      <c r="E22" s="8">
        <v>5</v>
      </c>
      <c r="F22" s="8"/>
    </row>
    <row r="23" spans="1:6" x14ac:dyDescent="0.25">
      <c r="A23" s="10"/>
      <c r="B23" s="1">
        <v>22</v>
      </c>
      <c r="C23" s="8">
        <v>11</v>
      </c>
      <c r="D23" s="8"/>
      <c r="E23" s="8">
        <v>11</v>
      </c>
      <c r="F23" s="8" t="s">
        <v>23</v>
      </c>
    </row>
    <row r="24" spans="1:6" x14ac:dyDescent="0.25">
      <c r="A24" s="10"/>
      <c r="B24" s="1">
        <v>23</v>
      </c>
      <c r="C24" s="8"/>
      <c r="D24" s="8"/>
      <c r="E24" s="8"/>
      <c r="F24" s="8"/>
    </row>
    <row r="25" spans="1:6" x14ac:dyDescent="0.25">
      <c r="A25" s="10"/>
      <c r="B25" s="1">
        <v>24</v>
      </c>
      <c r="C25" s="8">
        <v>13.5</v>
      </c>
      <c r="D25" s="8"/>
      <c r="E25" s="8">
        <v>13.5</v>
      </c>
      <c r="F25" s="8"/>
    </row>
    <row r="26" spans="1:6" x14ac:dyDescent="0.25">
      <c r="A26" s="10"/>
      <c r="B26" s="1">
        <v>25</v>
      </c>
      <c r="C26" s="8">
        <v>4.5</v>
      </c>
      <c r="D26" s="8"/>
      <c r="E26" s="8">
        <v>4.5</v>
      </c>
      <c r="F26" s="8"/>
    </row>
    <row r="27" spans="1:6" x14ac:dyDescent="0.25">
      <c r="A27" s="10"/>
      <c r="B27" s="1">
        <v>26</v>
      </c>
      <c r="C27" s="8"/>
      <c r="D27" s="8"/>
      <c r="E27" s="8"/>
      <c r="F27" s="8"/>
    </row>
    <row r="28" spans="1:6" x14ac:dyDescent="0.25">
      <c r="A28" s="10"/>
      <c r="B28" s="1">
        <v>27</v>
      </c>
      <c r="C28" s="8"/>
      <c r="D28" s="8"/>
      <c r="E28" s="8"/>
      <c r="F28" s="8"/>
    </row>
    <row r="29" spans="1:6" x14ac:dyDescent="0.25">
      <c r="A29" s="10"/>
      <c r="B29" s="1">
        <v>28</v>
      </c>
      <c r="C29" s="8">
        <v>5</v>
      </c>
      <c r="D29" s="8"/>
      <c r="E29" s="8">
        <v>5</v>
      </c>
      <c r="F29" s="8"/>
    </row>
    <row r="30" spans="1:6" x14ac:dyDescent="0.25">
      <c r="A30" s="10"/>
      <c r="B30" s="1">
        <v>29</v>
      </c>
      <c r="C30" s="8">
        <v>5</v>
      </c>
      <c r="D30" s="8"/>
      <c r="E30" s="8">
        <v>5</v>
      </c>
      <c r="F30" s="8"/>
    </row>
    <row r="31" spans="1:6" x14ac:dyDescent="0.25">
      <c r="A31" s="10"/>
      <c r="B31" s="1">
        <v>30</v>
      </c>
      <c r="C31" s="8"/>
      <c r="D31" s="8"/>
      <c r="E31" s="8"/>
      <c r="F31" s="8"/>
    </row>
    <row r="32" spans="1:6" x14ac:dyDescent="0.25">
      <c r="A32" s="10"/>
      <c r="B32" s="1">
        <v>31</v>
      </c>
      <c r="C32" s="8">
        <v>13.5</v>
      </c>
      <c r="D32" s="8"/>
      <c r="E32" s="8">
        <v>13.5</v>
      </c>
      <c r="F32" s="8"/>
    </row>
    <row r="33" spans="2:6" x14ac:dyDescent="0.25">
      <c r="B33" s="2" t="s">
        <v>4</v>
      </c>
      <c r="C33" s="8"/>
      <c r="D33" s="8">
        <f>SUM(D2:D32)</f>
        <v>10</v>
      </c>
      <c r="E33" s="8"/>
      <c r="F33" s="8"/>
    </row>
    <row r="34" spans="2:6" x14ac:dyDescent="0.25">
      <c r="B34" s="2" t="s">
        <v>5</v>
      </c>
      <c r="C34" s="8">
        <f>SUM(C2:C32)</f>
        <v>150</v>
      </c>
      <c r="D34" s="7"/>
      <c r="E34" s="8">
        <f>SUM(E2:E32)</f>
        <v>140</v>
      </c>
      <c r="F34" s="8"/>
    </row>
    <row r="35" spans="2:6" x14ac:dyDescent="0.25">
      <c r="B35" s="2" t="s">
        <v>24</v>
      </c>
      <c r="C35" s="8"/>
      <c r="D35" s="7"/>
      <c r="E35" s="8">
        <f>COUNTIF(C2:C32,"&gt;8")-COUNTIF(F2:F32,"X")</f>
        <v>3</v>
      </c>
      <c r="F35" s="8"/>
    </row>
  </sheetData>
  <mergeCells count="1">
    <mergeCell ref="A2:A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FF88-80E8-46E0-8D83-9E6580CD56AA}">
  <dimension ref="A1:J34"/>
  <sheetViews>
    <sheetView workbookViewId="0">
      <selection activeCell="H13" sqref="H13"/>
    </sheetView>
  </sheetViews>
  <sheetFormatPr defaultRowHeight="15" x14ac:dyDescent="0.25"/>
  <cols>
    <col min="2" max="2" width="14.85546875" customWidth="1"/>
    <col min="3" max="3" width="21.42578125" customWidth="1"/>
    <col min="4" max="4" width="19.5703125" customWidth="1"/>
    <col min="5" max="5" width="18.140625" customWidth="1"/>
    <col min="6" max="6" width="11.140625" customWidth="1"/>
    <col min="9" max="9" width="21" customWidth="1"/>
    <col min="10" max="10" width="15.42578125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10</v>
      </c>
      <c r="E1" s="1" t="s">
        <v>11</v>
      </c>
      <c r="F1" s="3" t="s">
        <v>8</v>
      </c>
      <c r="G1" s="1" t="s">
        <v>9</v>
      </c>
      <c r="I1" s="1" t="s">
        <v>8</v>
      </c>
      <c r="J1" s="1" t="s">
        <v>9</v>
      </c>
    </row>
    <row r="2" spans="1:10" x14ac:dyDescent="0.25">
      <c r="A2" s="10" t="s">
        <v>7</v>
      </c>
      <c r="B2" s="1">
        <v>1</v>
      </c>
      <c r="C2" s="1">
        <v>8</v>
      </c>
      <c r="D2" s="2"/>
      <c r="E2" s="2"/>
      <c r="F2" s="2">
        <v>6</v>
      </c>
      <c r="G2" s="2">
        <v>2</v>
      </c>
      <c r="I2" s="1">
        <v>30000</v>
      </c>
      <c r="J2" s="1">
        <v>39000</v>
      </c>
    </row>
    <row r="3" spans="1:10" x14ac:dyDescent="0.25">
      <c r="A3" s="10"/>
      <c r="B3" s="1">
        <v>2</v>
      </c>
      <c r="C3" s="1">
        <v>8</v>
      </c>
      <c r="D3" s="2"/>
      <c r="E3" s="2"/>
      <c r="F3" s="2">
        <v>8</v>
      </c>
      <c r="G3" s="2">
        <v>0</v>
      </c>
    </row>
    <row r="4" spans="1:10" x14ac:dyDescent="0.25">
      <c r="A4" s="10"/>
      <c r="B4" s="1">
        <v>3</v>
      </c>
      <c r="C4" s="1">
        <v>0</v>
      </c>
      <c r="D4" s="2"/>
      <c r="E4" s="2"/>
      <c r="F4" s="2">
        <v>0</v>
      </c>
      <c r="G4" s="2">
        <v>0</v>
      </c>
    </row>
    <row r="5" spans="1:10" x14ac:dyDescent="0.25">
      <c r="A5" s="10"/>
      <c r="B5" s="1">
        <v>4</v>
      </c>
      <c r="C5" s="1">
        <v>8</v>
      </c>
      <c r="D5" s="2"/>
      <c r="E5" s="2"/>
      <c r="F5" s="2">
        <v>8</v>
      </c>
      <c r="G5" s="2">
        <v>0</v>
      </c>
      <c r="I5" s="2" t="s">
        <v>12</v>
      </c>
      <c r="J5" s="4">
        <f>D33*3*I2</f>
        <v>0</v>
      </c>
    </row>
    <row r="6" spans="1:10" x14ac:dyDescent="0.25">
      <c r="A6" s="10"/>
      <c r="B6" s="1">
        <v>5</v>
      </c>
      <c r="C6" s="1">
        <v>8</v>
      </c>
      <c r="D6" s="2"/>
      <c r="E6" s="2"/>
      <c r="F6" s="2">
        <v>8</v>
      </c>
      <c r="G6" s="2">
        <v>0</v>
      </c>
      <c r="I6" s="2" t="s">
        <v>13</v>
      </c>
      <c r="J6" s="4">
        <f>E33*3*J2</f>
        <v>0</v>
      </c>
    </row>
    <row r="7" spans="1:10" x14ac:dyDescent="0.25">
      <c r="A7" s="10"/>
      <c r="B7" s="1">
        <v>6</v>
      </c>
      <c r="C7" s="1">
        <v>8</v>
      </c>
      <c r="D7" s="2"/>
      <c r="E7" s="2"/>
      <c r="F7" s="2">
        <v>8</v>
      </c>
      <c r="G7" s="2">
        <v>0</v>
      </c>
      <c r="I7" s="2" t="s">
        <v>6</v>
      </c>
      <c r="J7" s="4">
        <f>F34*I2+G34*J2</f>
        <v>6036000</v>
      </c>
    </row>
    <row r="8" spans="1:10" x14ac:dyDescent="0.25">
      <c r="A8" s="10"/>
      <c r="B8" s="1">
        <v>7</v>
      </c>
      <c r="C8" s="1">
        <v>0</v>
      </c>
      <c r="D8" s="2"/>
      <c r="E8" s="2"/>
      <c r="F8" s="2">
        <v>0</v>
      </c>
      <c r="G8" s="2">
        <v>0</v>
      </c>
      <c r="I8" s="2" t="s">
        <v>2</v>
      </c>
      <c r="J8" s="5">
        <f>SUM(J5:J7)</f>
        <v>6036000</v>
      </c>
    </row>
    <row r="9" spans="1:10" x14ac:dyDescent="0.25">
      <c r="A9" s="10"/>
      <c r="B9" s="1">
        <v>8</v>
      </c>
      <c r="C9" s="1">
        <v>8</v>
      </c>
      <c r="D9" s="2"/>
      <c r="E9" s="1"/>
      <c r="F9" s="1">
        <v>6</v>
      </c>
      <c r="G9" s="2">
        <v>2</v>
      </c>
    </row>
    <row r="10" spans="1:10" x14ac:dyDescent="0.25">
      <c r="A10" s="10"/>
      <c r="B10" s="1">
        <v>9</v>
      </c>
      <c r="C10" s="1">
        <v>8</v>
      </c>
      <c r="D10" s="2"/>
      <c r="E10" s="2"/>
      <c r="F10" s="2">
        <v>8</v>
      </c>
      <c r="G10" s="2">
        <v>0</v>
      </c>
    </row>
    <row r="11" spans="1:10" x14ac:dyDescent="0.25">
      <c r="A11" s="10"/>
      <c r="B11" s="1">
        <v>10</v>
      </c>
      <c r="C11" s="1">
        <v>0</v>
      </c>
      <c r="D11" s="2"/>
      <c r="E11" s="2"/>
      <c r="F11" s="2">
        <v>0</v>
      </c>
      <c r="G11" s="2">
        <v>0</v>
      </c>
    </row>
    <row r="12" spans="1:10" x14ac:dyDescent="0.25">
      <c r="A12" s="10"/>
      <c r="B12" s="1">
        <v>11</v>
      </c>
      <c r="C12" s="1">
        <v>8</v>
      </c>
      <c r="D12" s="2"/>
      <c r="E12" s="2"/>
      <c r="F12" s="2">
        <v>8</v>
      </c>
      <c r="G12" s="2"/>
    </row>
    <row r="13" spans="1:10" x14ac:dyDescent="0.25">
      <c r="A13" s="10"/>
      <c r="B13" s="1">
        <v>12</v>
      </c>
      <c r="C13" s="1">
        <v>8</v>
      </c>
      <c r="D13" s="2"/>
      <c r="E13" s="2"/>
      <c r="F13" s="2">
        <v>8</v>
      </c>
      <c r="G13" s="2"/>
    </row>
    <row r="14" spans="1:10" x14ac:dyDescent="0.25">
      <c r="A14" s="10"/>
      <c r="B14" s="1">
        <v>13</v>
      </c>
      <c r="C14" s="1">
        <v>8</v>
      </c>
      <c r="D14" s="2"/>
      <c r="E14" s="2"/>
      <c r="F14" s="2">
        <v>8</v>
      </c>
      <c r="G14" s="2"/>
    </row>
    <row r="15" spans="1:10" x14ac:dyDescent="0.25">
      <c r="A15" s="10"/>
      <c r="B15" s="1">
        <v>14</v>
      </c>
      <c r="C15" s="1">
        <v>8</v>
      </c>
      <c r="D15" s="2"/>
      <c r="E15" s="2"/>
      <c r="F15" s="2">
        <v>8</v>
      </c>
      <c r="G15" s="2"/>
    </row>
    <row r="16" spans="1:10" x14ac:dyDescent="0.25">
      <c r="A16" s="10"/>
      <c r="B16" s="1">
        <v>15</v>
      </c>
      <c r="C16" s="1">
        <v>8</v>
      </c>
      <c r="D16" s="2"/>
      <c r="E16" s="2"/>
      <c r="F16" s="2">
        <v>8</v>
      </c>
      <c r="G16" s="2"/>
    </row>
    <row r="17" spans="1:7" x14ac:dyDescent="0.25">
      <c r="A17" s="10"/>
      <c r="B17" s="1">
        <v>16</v>
      </c>
      <c r="C17" s="1">
        <v>8</v>
      </c>
      <c r="D17" s="2"/>
      <c r="E17" s="2"/>
      <c r="F17" s="2">
        <v>8</v>
      </c>
      <c r="G17" s="2"/>
    </row>
    <row r="18" spans="1:7" x14ac:dyDescent="0.25">
      <c r="A18" s="10"/>
      <c r="B18" s="1">
        <v>17</v>
      </c>
      <c r="C18" s="1">
        <v>8</v>
      </c>
      <c r="D18" s="2"/>
      <c r="E18" s="2"/>
      <c r="F18" s="2">
        <v>8</v>
      </c>
      <c r="G18" s="2"/>
    </row>
    <row r="19" spans="1:7" x14ac:dyDescent="0.25">
      <c r="A19" s="10"/>
      <c r="B19" s="1">
        <v>18</v>
      </c>
      <c r="C19" s="1">
        <v>8</v>
      </c>
      <c r="D19" s="2"/>
      <c r="E19" s="2"/>
      <c r="F19" s="2">
        <v>8</v>
      </c>
      <c r="G19" s="2"/>
    </row>
    <row r="20" spans="1:7" x14ac:dyDescent="0.25">
      <c r="A20" s="10"/>
      <c r="B20" s="1">
        <v>19</v>
      </c>
      <c r="C20" s="1">
        <v>8</v>
      </c>
      <c r="D20" s="2"/>
      <c r="E20" s="2"/>
      <c r="F20" s="2">
        <v>8</v>
      </c>
      <c r="G20" s="2"/>
    </row>
    <row r="21" spans="1:7" x14ac:dyDescent="0.25">
      <c r="A21" s="10"/>
      <c r="B21" s="1">
        <v>20</v>
      </c>
      <c r="C21" s="1">
        <v>8</v>
      </c>
      <c r="D21" s="2"/>
      <c r="E21" s="2"/>
      <c r="F21" s="2">
        <v>8</v>
      </c>
      <c r="G21" s="2"/>
    </row>
    <row r="22" spans="1:7" x14ac:dyDescent="0.25">
      <c r="A22" s="10"/>
      <c r="B22" s="1">
        <v>21</v>
      </c>
      <c r="C22" s="1">
        <v>8</v>
      </c>
      <c r="D22" s="2"/>
      <c r="E22" s="2"/>
      <c r="F22" s="2">
        <v>8</v>
      </c>
      <c r="G22" s="2"/>
    </row>
    <row r="23" spans="1:7" x14ac:dyDescent="0.25">
      <c r="A23" s="10"/>
      <c r="B23" s="1">
        <v>22</v>
      </c>
      <c r="C23" s="1">
        <v>8</v>
      </c>
      <c r="D23" s="2"/>
      <c r="E23" s="2"/>
      <c r="F23" s="2">
        <v>8</v>
      </c>
      <c r="G23" s="2"/>
    </row>
    <row r="24" spans="1:7" x14ac:dyDescent="0.25">
      <c r="A24" s="10"/>
      <c r="B24" s="1">
        <v>23</v>
      </c>
      <c r="C24" s="1">
        <v>8</v>
      </c>
      <c r="D24" s="2"/>
      <c r="E24" s="2"/>
      <c r="F24" s="2">
        <v>8</v>
      </c>
      <c r="G24" s="2"/>
    </row>
    <row r="25" spans="1:7" x14ac:dyDescent="0.25">
      <c r="A25" s="10"/>
      <c r="B25" s="1">
        <v>24</v>
      </c>
      <c r="C25" s="1">
        <v>8</v>
      </c>
      <c r="D25" s="2"/>
      <c r="E25" s="2"/>
      <c r="F25" s="2">
        <v>8</v>
      </c>
      <c r="G25" s="2"/>
    </row>
    <row r="26" spans="1:7" x14ac:dyDescent="0.25">
      <c r="A26" s="10"/>
      <c r="B26" s="1">
        <v>25</v>
      </c>
      <c r="C26" s="1">
        <v>8</v>
      </c>
      <c r="D26" s="2"/>
      <c r="E26" s="2"/>
      <c r="F26" s="2">
        <v>8</v>
      </c>
      <c r="G26" s="2"/>
    </row>
    <row r="27" spans="1:7" x14ac:dyDescent="0.25">
      <c r="A27" s="10"/>
      <c r="B27" s="1">
        <v>26</v>
      </c>
      <c r="C27" s="1">
        <v>8</v>
      </c>
      <c r="D27" s="2"/>
      <c r="E27" s="2"/>
      <c r="F27" s="2">
        <v>8</v>
      </c>
      <c r="G27" s="2"/>
    </row>
    <row r="28" spans="1:7" x14ac:dyDescent="0.25">
      <c r="A28" s="10"/>
      <c r="B28" s="1">
        <v>27</v>
      </c>
      <c r="C28" s="1">
        <v>8</v>
      </c>
      <c r="D28" s="2"/>
      <c r="E28" s="2"/>
      <c r="F28" s="2">
        <v>8</v>
      </c>
      <c r="G28" s="2"/>
    </row>
    <row r="29" spans="1:7" x14ac:dyDescent="0.25">
      <c r="A29" s="10"/>
      <c r="B29" s="1">
        <v>28</v>
      </c>
      <c r="C29" s="1">
        <v>8</v>
      </c>
      <c r="D29" s="2"/>
      <c r="E29" s="2"/>
      <c r="F29" s="2">
        <v>8</v>
      </c>
      <c r="G29" s="2"/>
    </row>
    <row r="30" spans="1:7" x14ac:dyDescent="0.25">
      <c r="A30" s="10"/>
      <c r="B30" s="1">
        <v>29</v>
      </c>
      <c r="C30" s="1"/>
      <c r="D30" s="2"/>
      <c r="E30" s="2"/>
      <c r="F30" s="2"/>
      <c r="G30" s="2"/>
    </row>
    <row r="31" spans="1:7" x14ac:dyDescent="0.25">
      <c r="A31" s="10"/>
      <c r="B31" s="1">
        <v>30</v>
      </c>
      <c r="C31" s="1"/>
      <c r="D31" s="2"/>
      <c r="E31" s="2"/>
      <c r="F31" s="2"/>
      <c r="G31" s="2"/>
    </row>
    <row r="32" spans="1:7" x14ac:dyDescent="0.25">
      <c r="A32" s="10"/>
      <c r="B32" s="1">
        <v>31</v>
      </c>
      <c r="C32" s="1"/>
      <c r="D32" s="2"/>
      <c r="E32" s="2"/>
      <c r="F32" s="2"/>
      <c r="G32" s="2"/>
    </row>
    <row r="33" spans="2:7" x14ac:dyDescent="0.25">
      <c r="B33" s="2" t="s">
        <v>4</v>
      </c>
      <c r="C33" s="2"/>
      <c r="D33" s="2">
        <f>SUM(D2:D32)</f>
        <v>0</v>
      </c>
      <c r="E33" s="2">
        <f>SUM(E2:E32)</f>
        <v>0</v>
      </c>
      <c r="F33" s="2"/>
      <c r="G33" s="2"/>
    </row>
    <row r="34" spans="2:7" x14ac:dyDescent="0.25">
      <c r="B34" s="2" t="s">
        <v>5</v>
      </c>
      <c r="C34" s="2">
        <f>SUM(C2:C32)</f>
        <v>200</v>
      </c>
      <c r="D34" s="2"/>
      <c r="E34" s="2"/>
      <c r="F34" s="2">
        <f>SUM(F2:F32)</f>
        <v>196</v>
      </c>
      <c r="G34" s="2">
        <f>SUM(G2:G32)</f>
        <v>4</v>
      </c>
    </row>
  </sheetData>
  <mergeCells count="1">
    <mergeCell ref="A2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B5A3-DC5D-48E9-B3BC-AA58B11B3A8F}">
  <dimension ref="A1:F34"/>
  <sheetViews>
    <sheetView tabSelected="1" workbookViewId="0">
      <selection activeCell="E29" sqref="E29"/>
    </sheetView>
  </sheetViews>
  <sheetFormatPr defaultRowHeight="15" x14ac:dyDescent="0.25"/>
  <cols>
    <col min="1" max="1" width="18" customWidth="1"/>
    <col min="2" max="2" width="13.140625" customWidth="1"/>
    <col min="3" max="3" width="15.140625" customWidth="1"/>
    <col min="4" max="4" width="17.5703125" customWidth="1"/>
    <col min="5" max="5" width="15.5703125" customWidth="1"/>
    <col min="6" max="6" width="21.5703125" customWidth="1"/>
    <col min="9" max="9" width="20.85546875" customWidth="1"/>
    <col min="10" max="10" width="19.5703125" customWidth="1"/>
  </cols>
  <sheetData>
    <row r="1" spans="1:6" x14ac:dyDescent="0.25">
      <c r="A1" s="1" t="s">
        <v>0</v>
      </c>
      <c r="B1" s="1" t="s">
        <v>1</v>
      </c>
      <c r="C1" s="1" t="s">
        <v>3</v>
      </c>
      <c r="E1" s="11" t="s">
        <v>27</v>
      </c>
      <c r="F1" s="4">
        <v>24000</v>
      </c>
    </row>
    <row r="2" spans="1:6" x14ac:dyDescent="0.25">
      <c r="A2" s="10" t="s">
        <v>26</v>
      </c>
      <c r="B2" s="1">
        <v>1</v>
      </c>
      <c r="C2" s="1"/>
      <c r="E2" s="2" t="s">
        <v>14</v>
      </c>
      <c r="F2" s="4">
        <v>5000</v>
      </c>
    </row>
    <row r="3" spans="1:6" x14ac:dyDescent="0.25">
      <c r="A3" s="10"/>
      <c r="B3" s="1">
        <v>2</v>
      </c>
      <c r="C3" s="1"/>
      <c r="E3" s="2" t="s">
        <v>2</v>
      </c>
      <c r="F3" s="4">
        <f>C34*F1+F2*COUNT(C2:C32)</f>
        <v>793000</v>
      </c>
    </row>
    <row r="4" spans="1:6" x14ac:dyDescent="0.25">
      <c r="A4" s="10"/>
      <c r="B4" s="1">
        <v>3</v>
      </c>
      <c r="C4" s="1"/>
    </row>
    <row r="5" spans="1:6" x14ac:dyDescent="0.25">
      <c r="A5" s="10"/>
      <c r="B5" s="1">
        <v>4</v>
      </c>
      <c r="C5" s="1"/>
    </row>
    <row r="6" spans="1:6" x14ac:dyDescent="0.25">
      <c r="A6" s="10"/>
      <c r="B6" s="1">
        <v>5</v>
      </c>
      <c r="C6" s="1"/>
    </row>
    <row r="7" spans="1:6" x14ac:dyDescent="0.25">
      <c r="A7" s="10"/>
      <c r="B7" s="1">
        <v>6</v>
      </c>
      <c r="C7" s="1"/>
    </row>
    <row r="8" spans="1:6" x14ac:dyDescent="0.25">
      <c r="A8" s="10"/>
      <c r="B8" s="1">
        <v>7</v>
      </c>
      <c r="C8" s="1"/>
    </row>
    <row r="9" spans="1:6" x14ac:dyDescent="0.25">
      <c r="A9" s="10"/>
      <c r="B9" s="1">
        <v>8</v>
      </c>
      <c r="C9" s="1"/>
    </row>
    <row r="10" spans="1:6" x14ac:dyDescent="0.25">
      <c r="A10" s="10"/>
      <c r="B10" s="1">
        <v>9</v>
      </c>
      <c r="C10" s="1"/>
    </row>
    <row r="11" spans="1:6" x14ac:dyDescent="0.25">
      <c r="A11" s="10"/>
      <c r="B11" s="1">
        <v>10</v>
      </c>
      <c r="C11" s="1"/>
    </row>
    <row r="12" spans="1:6" x14ac:dyDescent="0.25">
      <c r="A12" s="10"/>
      <c r="B12" s="1">
        <v>11</v>
      </c>
      <c r="C12" s="1"/>
    </row>
    <row r="13" spans="1:6" x14ac:dyDescent="0.25">
      <c r="A13" s="10"/>
      <c r="B13" s="1">
        <v>12</v>
      </c>
      <c r="C13" s="1"/>
    </row>
    <row r="14" spans="1:6" x14ac:dyDescent="0.25">
      <c r="A14" s="10"/>
      <c r="B14" s="1">
        <v>13</v>
      </c>
      <c r="C14" s="1"/>
    </row>
    <row r="15" spans="1:6" x14ac:dyDescent="0.25">
      <c r="A15" s="10"/>
      <c r="B15" s="1">
        <v>14</v>
      </c>
      <c r="C15" s="1"/>
    </row>
    <row r="16" spans="1:6" x14ac:dyDescent="0.25">
      <c r="A16" s="10"/>
      <c r="B16" s="1">
        <v>15</v>
      </c>
      <c r="C16" s="1"/>
    </row>
    <row r="17" spans="1:3" x14ac:dyDescent="0.25">
      <c r="A17" s="10"/>
      <c r="B17" s="1">
        <v>16</v>
      </c>
      <c r="C17" s="1"/>
    </row>
    <row r="18" spans="1:3" x14ac:dyDescent="0.25">
      <c r="A18" s="10"/>
      <c r="B18" s="1">
        <v>17</v>
      </c>
      <c r="C18" s="1"/>
    </row>
    <row r="19" spans="1:3" x14ac:dyDescent="0.25">
      <c r="A19" s="10"/>
      <c r="B19" s="1">
        <v>18</v>
      </c>
      <c r="C19" s="1"/>
    </row>
    <row r="20" spans="1:3" x14ac:dyDescent="0.25">
      <c r="A20" s="10"/>
      <c r="B20" s="1">
        <v>19</v>
      </c>
      <c r="C20" s="1"/>
    </row>
    <row r="21" spans="1:3" x14ac:dyDescent="0.25">
      <c r="A21" s="10"/>
      <c r="B21" s="1">
        <v>20</v>
      </c>
      <c r="C21" s="1"/>
    </row>
    <row r="22" spans="1:3" x14ac:dyDescent="0.25">
      <c r="A22" s="10"/>
      <c r="B22" s="1">
        <v>21</v>
      </c>
      <c r="C22" s="1"/>
    </row>
    <row r="23" spans="1:3" x14ac:dyDescent="0.25">
      <c r="A23" s="10"/>
      <c r="B23" s="1">
        <v>22</v>
      </c>
      <c r="C23" s="1"/>
    </row>
    <row r="24" spans="1:3" x14ac:dyDescent="0.25">
      <c r="A24" s="10"/>
      <c r="B24" s="1">
        <v>23</v>
      </c>
      <c r="C24" s="1">
        <v>7</v>
      </c>
    </row>
    <row r="25" spans="1:3" x14ac:dyDescent="0.25">
      <c r="A25" s="10"/>
      <c r="B25" s="1">
        <v>24</v>
      </c>
      <c r="C25" s="1">
        <v>6</v>
      </c>
    </row>
    <row r="26" spans="1:3" x14ac:dyDescent="0.25">
      <c r="A26" s="10"/>
      <c r="B26" s="1">
        <v>25</v>
      </c>
      <c r="C26" s="1">
        <v>6</v>
      </c>
    </row>
    <row r="27" spans="1:3" x14ac:dyDescent="0.25">
      <c r="A27" s="10"/>
      <c r="B27" s="1">
        <v>26</v>
      </c>
      <c r="C27" s="1">
        <v>6</v>
      </c>
    </row>
    <row r="28" spans="1:3" x14ac:dyDescent="0.25">
      <c r="A28" s="10"/>
      <c r="B28" s="1">
        <v>27</v>
      </c>
      <c r="C28" s="1">
        <v>7</v>
      </c>
    </row>
    <row r="29" spans="1:3" x14ac:dyDescent="0.25">
      <c r="A29" s="10"/>
      <c r="B29" s="1">
        <v>28</v>
      </c>
      <c r="C29" s="1"/>
    </row>
    <row r="30" spans="1:3" x14ac:dyDescent="0.25">
      <c r="A30" s="10"/>
      <c r="B30" s="1">
        <v>29</v>
      </c>
      <c r="C30" s="1"/>
    </row>
    <row r="31" spans="1:3" x14ac:dyDescent="0.25">
      <c r="A31" s="10"/>
      <c r="B31" s="1">
        <v>30</v>
      </c>
      <c r="C31" s="1"/>
    </row>
    <row r="32" spans="1:3" x14ac:dyDescent="0.25">
      <c r="A32" s="10"/>
      <c r="B32" s="1">
        <v>31</v>
      </c>
      <c r="C32" s="1"/>
    </row>
    <row r="33" spans="2:3" x14ac:dyDescent="0.25">
      <c r="B33" s="2" t="s">
        <v>4</v>
      </c>
      <c r="C33" s="2"/>
    </row>
    <row r="34" spans="2:3" x14ac:dyDescent="0.25">
      <c r="B34" s="2" t="s">
        <v>5</v>
      </c>
      <c r="C34" s="2">
        <f>SUM(C2:C32)</f>
        <v>32</v>
      </c>
    </row>
  </sheetData>
  <mergeCells count="1">
    <mergeCell ref="A2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Phúc</vt:lpstr>
      <vt:lpstr>Sheet1</vt:lpstr>
      <vt:lpstr>Tous les Jours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Phuc Dang</cp:lastModifiedBy>
  <dcterms:created xsi:type="dcterms:W3CDTF">2023-03-20T11:15:10Z</dcterms:created>
  <dcterms:modified xsi:type="dcterms:W3CDTF">2025-06-23T14:04:49Z</dcterms:modified>
</cp:coreProperties>
</file>